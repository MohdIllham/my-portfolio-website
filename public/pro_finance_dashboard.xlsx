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Loan" sheetId="2" state="visible" r:id="rId2"/>
    <sheet xmlns:r="http://schemas.openxmlformats.org/officeDocument/2006/relationships" name="Investme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Net Worth Trend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'Dashboard'!E2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'Dashboard'!$D$3:$D$14</f>
            </numRef>
          </cat>
          <val>
            <numRef>
              <f>'Dashboard'!$E$3:$E$14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 FINANCE DASHBOARD</t>
        </is>
      </c>
    </row>
    <row r="2">
      <c r="D2" t="inlineStr">
        <is>
          <t>Month</t>
        </is>
      </c>
      <c r="E2" t="inlineStr">
        <is>
          <t>Net Worth</t>
        </is>
      </c>
    </row>
    <row r="3">
      <c r="A3" t="inlineStr">
        <is>
          <t>Total Loans</t>
        </is>
      </c>
      <c r="B3">
        <f>SUM(Loan!B2:B100)</f>
        <v/>
      </c>
      <c r="D3" t="inlineStr">
        <is>
          <t>Jan</t>
        </is>
      </c>
      <c r="E3">
        <f>B6</f>
        <v/>
      </c>
    </row>
    <row r="4">
      <c r="A4" t="inlineStr">
        <is>
          <t>Monthly Payment</t>
        </is>
      </c>
      <c r="B4">
        <f>SUM(Loan!E2:E100)</f>
        <v/>
      </c>
      <c r="D4" t="inlineStr">
        <is>
          <t>Feb</t>
        </is>
      </c>
      <c r="E4">
        <f>B6</f>
        <v/>
      </c>
    </row>
    <row r="5">
      <c r="A5" t="inlineStr">
        <is>
          <t>Investment Value</t>
        </is>
      </c>
      <c r="B5">
        <f>SUM(Investment!F2:F100)</f>
        <v/>
      </c>
      <c r="D5" t="inlineStr">
        <is>
          <t>Mar</t>
        </is>
      </c>
      <c r="E5">
        <f>B6</f>
        <v/>
      </c>
    </row>
    <row r="6">
      <c r="A6" t="inlineStr">
        <is>
          <t>Net Worth</t>
        </is>
      </c>
      <c r="B6">
        <f>B5-B3</f>
        <v/>
      </c>
      <c r="D6" t="inlineStr">
        <is>
          <t>Apr</t>
        </is>
      </c>
      <c r="E6">
        <f>B6</f>
        <v/>
      </c>
    </row>
    <row r="7">
      <c r="D7" t="inlineStr">
        <is>
          <t>May</t>
        </is>
      </c>
      <c r="E7">
        <f>B6</f>
        <v/>
      </c>
    </row>
    <row r="8">
      <c r="D8" t="inlineStr">
        <is>
          <t>Jun</t>
        </is>
      </c>
      <c r="E8">
        <f>B6</f>
        <v/>
      </c>
    </row>
    <row r="9">
      <c r="D9" t="inlineStr">
        <is>
          <t>Jul</t>
        </is>
      </c>
      <c r="E9">
        <f>B6</f>
        <v/>
      </c>
    </row>
    <row r="10">
      <c r="D10" t="inlineStr">
        <is>
          <t>Aug</t>
        </is>
      </c>
      <c r="E10">
        <f>B6</f>
        <v/>
      </c>
    </row>
    <row r="11">
      <c r="D11" t="inlineStr">
        <is>
          <t>Sep</t>
        </is>
      </c>
      <c r="E11">
        <f>B6</f>
        <v/>
      </c>
    </row>
    <row r="12">
      <c r="D12" t="inlineStr">
        <is>
          <t>Oct</t>
        </is>
      </c>
      <c r="E12">
        <f>B6</f>
        <v/>
      </c>
    </row>
    <row r="13">
      <c r="D13" t="inlineStr">
        <is>
          <t>Nov</t>
        </is>
      </c>
      <c r="E13">
        <f>B6</f>
        <v/>
      </c>
    </row>
    <row r="14">
      <c r="D14" t="inlineStr">
        <is>
          <t>Dec</t>
        </is>
      </c>
      <c r="E14">
        <f>B6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Loan Name</t>
        </is>
      </c>
      <c r="B1" t="inlineStr">
        <is>
          <t>Principal</t>
        </is>
      </c>
      <c r="C1" t="inlineStr">
        <is>
          <t>Interest %</t>
        </is>
      </c>
      <c r="D1" t="inlineStr">
        <is>
          <t>Months</t>
        </is>
      </c>
      <c r="E1" t="inlineStr">
        <is>
          <t>Monthly</t>
        </is>
      </c>
      <c r="F1" t="inlineStr">
        <is>
          <t>Total</t>
        </is>
      </c>
      <c r="G1" t="inlineStr">
        <is>
          <t>Interest</t>
        </is>
      </c>
    </row>
    <row r="2">
      <c r="A2" t="inlineStr">
        <is>
          <t>Car</t>
        </is>
      </c>
      <c r="B2" t="n">
        <v>20000</v>
      </c>
      <c r="C2" t="n">
        <v>4</v>
      </c>
      <c r="D2" t="n">
        <v>60</v>
      </c>
      <c r="E2">
        <f>PMT(C2/100/12,D2,-B2)</f>
        <v/>
      </c>
      <c r="F2">
        <f>E2*D2</f>
        <v/>
      </c>
      <c r="G2">
        <f>F2-B2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Initial</t>
        </is>
      </c>
      <c r="C1" t="inlineStr">
        <is>
          <t>Monthly</t>
        </is>
      </c>
      <c r="D1" t="inlineStr">
        <is>
          <t>Return %</t>
        </is>
      </c>
      <c r="E1" t="inlineStr">
        <is>
          <t>Years</t>
        </is>
      </c>
      <c r="F1" t="inlineStr">
        <is>
          <t>Future Value</t>
        </is>
      </c>
    </row>
    <row r="2">
      <c r="A2" t="inlineStr">
        <is>
          <t>ETF</t>
        </is>
      </c>
      <c r="B2" t="n">
        <v>5000</v>
      </c>
      <c r="C2" t="n">
        <v>200</v>
      </c>
      <c r="D2" t="n">
        <v>8</v>
      </c>
      <c r="E2" t="n">
        <v>10</v>
      </c>
      <c r="F2">
        <f>FV(D2/100/12,E2*12,-C2,-B2)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2026-03-23T14:15:39Z</dcterms:created>
  <dcterms:modified xmlns:dcterms="http://purl.org/dc/terms/" xmlns:xsi="http://www.w3.org/2001/XMLSchema-instance" xsi:type="dcterms:W3CDTF">2026-03-23T14:15:39Z</dcterms:modified>
</cp:coreProperties>
</file>